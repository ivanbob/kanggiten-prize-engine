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3DB0A70-5830-4716-A11A-F235F247E520}" xr6:coauthVersionLast="46" xr6:coauthVersionMax="46" xr10:uidLastSave="{00000000-0000-0000-0000-000000000000}"/>
  <bookViews>
    <workbookView xWindow="31440" yWindow="3990" windowWidth="21600" windowHeight="138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6" i="1" l="1"/>
  <c r="D37" i="1"/>
  <c r="D38" i="1"/>
  <c r="D40" i="1"/>
  <c r="E40" i="1" s="1"/>
  <c r="F40" i="1" s="1"/>
  <c r="D41" i="1"/>
  <c r="E41" i="1" s="1"/>
  <c r="F41" i="1" s="1"/>
  <c r="D43" i="1"/>
  <c r="E43" i="1" s="1"/>
  <c r="F43" i="1" s="1"/>
  <c r="D44" i="1"/>
  <c r="E44" i="1" s="1"/>
  <c r="F44" i="1" s="1"/>
  <c r="D45" i="1"/>
  <c r="D46" i="1"/>
  <c r="D49" i="1"/>
  <c r="E49" i="1" s="1"/>
  <c r="F49" i="1" s="1"/>
  <c r="D50" i="1"/>
  <c r="E50" i="1" s="1"/>
  <c r="F50" i="1" s="1"/>
  <c r="D36" i="1"/>
  <c r="E36" i="1" s="1"/>
  <c r="E37" i="1"/>
  <c r="F37" i="1" s="1"/>
  <c r="E38" i="1"/>
  <c r="E45" i="1"/>
  <c r="F45" i="1" s="1"/>
  <c r="E46" i="1"/>
  <c r="F46" i="1" s="1"/>
  <c r="E29" i="1"/>
  <c r="D39" i="1" s="1"/>
  <c r="E39" i="1" s="1"/>
  <c r="F39" i="1" s="1"/>
  <c r="I25" i="1"/>
  <c r="F16" i="1"/>
  <c r="D42" i="1" l="1"/>
  <c r="E42" i="1" s="1"/>
  <c r="F42" i="1" s="1"/>
  <c r="D48" i="1"/>
  <c r="E48" i="1" s="1"/>
  <c r="F48" i="1" s="1"/>
  <c r="D47" i="1"/>
  <c r="E47" i="1" s="1"/>
  <c r="F47" i="1" s="1"/>
  <c r="D51" i="1"/>
  <c r="F51" i="1"/>
  <c r="E51" i="1"/>
</calcChain>
</file>

<file path=xl/sharedStrings.xml><?xml version="1.0" encoding="utf-8"?>
<sst xmlns="http://schemas.openxmlformats.org/spreadsheetml/2006/main" count="3" uniqueCount="3">
  <si>
    <t>min prize</t>
  </si>
  <si>
    <t>distribute remaining funds to match the prize pool</t>
  </si>
  <si>
    <t>min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</si>
</sst>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2.5954101891109766E-2"/>
                  <c:y val="-0.52014417989336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9116495053502928E-2"/>
                  <c:y val="-0.158828575475193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Sheet1!$F$5:$F$14</c:f>
              <c:numCache>
                <c:formatCode>General</c:formatCode>
                <c:ptCount val="10"/>
                <c:pt idx="0">
                  <c:v>500</c:v>
                </c:pt>
                <c:pt idx="1">
                  <c:v>250</c:v>
                </c:pt>
                <c:pt idx="2">
                  <c:v>100</c:v>
                </c:pt>
                <c:pt idx="3">
                  <c:v>50</c:v>
                </c:pt>
                <c:pt idx="4">
                  <c:v>25</c:v>
                </c:pt>
                <c:pt idx="5">
                  <c:v>25</c:v>
                </c:pt>
                <c:pt idx="6">
                  <c:v>20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A6-48EA-86D4-797B7D7C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93176"/>
        <c:axId val="475599448"/>
      </c:scatterChart>
      <c:valAx>
        <c:axId val="47559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99448"/>
        <c:crosses val="autoZero"/>
        <c:crossBetween val="midCat"/>
      </c:valAx>
      <c:valAx>
        <c:axId val="47559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93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3747049044880782"/>
                  <c:y val="-0.63564474643210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Sheet1!$I$5:$I$24</c:f>
              <c:numCache>
                <c:formatCode>General</c:formatCode>
                <c:ptCount val="20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07-49F0-825D-DDF14598E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84792"/>
        <c:axId val="479282440"/>
      </c:scatterChart>
      <c:valAx>
        <c:axId val="47928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82440"/>
        <c:crosses val="autoZero"/>
        <c:crossBetween val="midCat"/>
      </c:valAx>
      <c:valAx>
        <c:axId val="4792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8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2</xdr:row>
      <xdr:rowOff>4762</xdr:rowOff>
    </xdr:from>
    <xdr:to>
      <xdr:col>24</xdr:col>
      <xdr:colOff>123825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481012</xdr:colOff>
      <xdr:row>20</xdr:row>
      <xdr:rowOff>33336</xdr:rowOff>
    </xdr:from>
    <xdr:to>
      <xdr:col>23</xdr:col>
      <xdr:colOff>19050</xdr:colOff>
      <xdr:row>43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56"/>
  <sheetViews>
    <sheetView tabSelected="1" topLeftCell="A28" workbookViewId="0">
      <selection activeCell="H32" sqref="H32"/>
    </sheetView>
  </sheetViews>
  <sheetFormatPr defaultRowHeight="15" x14ac:dyDescent="0.25"/>
  <sheetData>
    <row r="4" spans="5:9" x14ac:dyDescent="0.25">
      <c r="F4">
        <v>1000</v>
      </c>
      <c r="H4">
        <v>10</v>
      </c>
    </row>
    <row r="5" spans="5:9" x14ac:dyDescent="0.25">
      <c r="E5">
        <v>1</v>
      </c>
      <c r="F5">
        <v>500</v>
      </c>
      <c r="H5">
        <v>1</v>
      </c>
      <c r="I5">
        <v>400</v>
      </c>
    </row>
    <row r="6" spans="5:9" x14ac:dyDescent="0.25">
      <c r="E6">
        <v>2</v>
      </c>
      <c r="F6">
        <v>250</v>
      </c>
      <c r="H6">
        <v>2</v>
      </c>
      <c r="I6">
        <v>200</v>
      </c>
    </row>
    <row r="7" spans="5:9" x14ac:dyDescent="0.25">
      <c r="E7">
        <v>3</v>
      </c>
      <c r="F7">
        <v>100</v>
      </c>
      <c r="H7">
        <v>3</v>
      </c>
      <c r="I7">
        <v>100</v>
      </c>
    </row>
    <row r="8" spans="5:9" x14ac:dyDescent="0.25">
      <c r="E8">
        <v>4</v>
      </c>
      <c r="F8">
        <v>50</v>
      </c>
      <c r="H8">
        <v>4</v>
      </c>
      <c r="I8">
        <v>50</v>
      </c>
    </row>
    <row r="9" spans="5:9" x14ac:dyDescent="0.25">
      <c r="E9">
        <v>5</v>
      </c>
      <c r="F9">
        <v>25</v>
      </c>
      <c r="H9">
        <v>5</v>
      </c>
      <c r="I9">
        <v>25</v>
      </c>
    </row>
    <row r="10" spans="5:9" x14ac:dyDescent="0.25">
      <c r="E10">
        <v>6</v>
      </c>
      <c r="F10">
        <v>25</v>
      </c>
      <c r="H10">
        <v>6</v>
      </c>
      <c r="I10">
        <v>25</v>
      </c>
    </row>
    <row r="11" spans="5:9" x14ac:dyDescent="0.25">
      <c r="E11">
        <v>7</v>
      </c>
      <c r="F11">
        <v>20</v>
      </c>
      <c r="H11">
        <v>7</v>
      </c>
      <c r="I11">
        <v>25</v>
      </c>
    </row>
    <row r="12" spans="5:9" x14ac:dyDescent="0.25">
      <c r="E12">
        <v>8</v>
      </c>
      <c r="F12">
        <v>10</v>
      </c>
      <c r="H12">
        <v>8</v>
      </c>
      <c r="I12">
        <v>25</v>
      </c>
    </row>
    <row r="13" spans="5:9" x14ac:dyDescent="0.25">
      <c r="E13">
        <v>9</v>
      </c>
      <c r="F13">
        <v>10</v>
      </c>
      <c r="H13">
        <v>9</v>
      </c>
      <c r="I13">
        <v>20</v>
      </c>
    </row>
    <row r="14" spans="5:9" x14ac:dyDescent="0.25">
      <c r="E14">
        <v>10</v>
      </c>
      <c r="F14">
        <v>10</v>
      </c>
      <c r="H14">
        <v>10</v>
      </c>
      <c r="I14">
        <v>20</v>
      </c>
    </row>
    <row r="15" spans="5:9" x14ac:dyDescent="0.25">
      <c r="H15">
        <v>11</v>
      </c>
      <c r="I15">
        <v>20</v>
      </c>
    </row>
    <row r="16" spans="5:9" x14ac:dyDescent="0.25">
      <c r="F16">
        <f>SUM(F5:F14)</f>
        <v>1000</v>
      </c>
      <c r="H16">
        <v>12</v>
      </c>
      <c r="I16">
        <v>10</v>
      </c>
    </row>
    <row r="17" spans="2:9" x14ac:dyDescent="0.25">
      <c r="H17">
        <v>13</v>
      </c>
      <c r="I17">
        <v>10</v>
      </c>
    </row>
    <row r="18" spans="2:9" x14ac:dyDescent="0.25">
      <c r="H18">
        <v>14</v>
      </c>
      <c r="I18">
        <v>10</v>
      </c>
    </row>
    <row r="19" spans="2:9" x14ac:dyDescent="0.25">
      <c r="H19">
        <v>15</v>
      </c>
      <c r="I19">
        <v>10</v>
      </c>
    </row>
    <row r="20" spans="2:9" x14ac:dyDescent="0.25">
      <c r="H20">
        <v>16</v>
      </c>
      <c r="I20">
        <v>10</v>
      </c>
    </row>
    <row r="21" spans="2:9" x14ac:dyDescent="0.25">
      <c r="H21">
        <v>17</v>
      </c>
      <c r="I21">
        <v>10</v>
      </c>
    </row>
    <row r="22" spans="2:9" x14ac:dyDescent="0.25">
      <c r="H22">
        <v>18</v>
      </c>
      <c r="I22">
        <v>10</v>
      </c>
    </row>
    <row r="23" spans="2:9" x14ac:dyDescent="0.25">
      <c r="H23">
        <v>19</v>
      </c>
      <c r="I23">
        <v>10</v>
      </c>
    </row>
    <row r="24" spans="2:9" x14ac:dyDescent="0.25">
      <c r="H24">
        <v>20</v>
      </c>
      <c r="I24">
        <v>10</v>
      </c>
    </row>
    <row r="25" spans="2:9" x14ac:dyDescent="0.25">
      <c r="I25">
        <f>SUM(I5:I24)</f>
        <v>1000</v>
      </c>
    </row>
    <row r="29" spans="2:9" x14ac:dyDescent="0.25">
      <c r="B29">
        <v>10</v>
      </c>
      <c r="C29">
        <v>650</v>
      </c>
      <c r="E29">
        <f>6500/15</f>
        <v>433.33333333333331</v>
      </c>
      <c r="F29">
        <v>1</v>
      </c>
    </row>
    <row r="30" spans="2:9" x14ac:dyDescent="0.25">
      <c r="B30">
        <v>20</v>
      </c>
      <c r="C30">
        <v>350</v>
      </c>
    </row>
    <row r="36" spans="3:6" x14ac:dyDescent="0.25">
      <c r="C36">
        <v>1</v>
      </c>
      <c r="D36">
        <f>$E$29*C36^-1.5</f>
        <v>433.33333333333331</v>
      </c>
      <c r="E36">
        <f>ROUNDUP(D36,-1)</f>
        <v>440</v>
      </c>
      <c r="F36">
        <f>E36+10</f>
        <v>450</v>
      </c>
    </row>
    <row r="37" spans="3:6" x14ac:dyDescent="0.25">
      <c r="C37">
        <v>2</v>
      </c>
      <c r="D37">
        <f t="shared" ref="D37:D50" si="0">$E$29*C37^-1.5</f>
        <v>153.2064692570853</v>
      </c>
      <c r="E37">
        <f t="shared" ref="E37:E50" si="1">ROUNDUP(D37,-1)</f>
        <v>160</v>
      </c>
      <c r="F37">
        <f t="shared" ref="F37:F50" si="2">E37</f>
        <v>160</v>
      </c>
    </row>
    <row r="38" spans="3:6" x14ac:dyDescent="0.25">
      <c r="C38">
        <v>3</v>
      </c>
      <c r="D38">
        <f t="shared" si="0"/>
        <v>83.39503888294594</v>
      </c>
      <c r="E38">
        <f t="shared" si="1"/>
        <v>90</v>
      </c>
      <c r="F38">
        <v>100</v>
      </c>
    </row>
    <row r="39" spans="3:6" x14ac:dyDescent="0.25">
      <c r="C39">
        <v>4</v>
      </c>
      <c r="D39">
        <f t="shared" si="0"/>
        <v>54.166666666666679</v>
      </c>
      <c r="E39">
        <f t="shared" si="1"/>
        <v>60</v>
      </c>
      <c r="F39">
        <f t="shared" si="2"/>
        <v>60</v>
      </c>
    </row>
    <row r="40" spans="3:6" x14ac:dyDescent="0.25">
      <c r="C40">
        <v>5</v>
      </c>
      <c r="D40">
        <f t="shared" si="0"/>
        <v>38.758511609996368</v>
      </c>
      <c r="E40">
        <f t="shared" si="1"/>
        <v>40</v>
      </c>
      <c r="F40">
        <f t="shared" si="2"/>
        <v>40</v>
      </c>
    </row>
    <row r="41" spans="3:6" x14ac:dyDescent="0.25">
      <c r="C41">
        <v>6</v>
      </c>
      <c r="D41">
        <f t="shared" si="0"/>
        <v>29.484598755723432</v>
      </c>
      <c r="E41">
        <f t="shared" si="1"/>
        <v>30</v>
      </c>
      <c r="F41">
        <f t="shared" si="2"/>
        <v>30</v>
      </c>
    </row>
    <row r="42" spans="3:6" x14ac:dyDescent="0.25">
      <c r="C42">
        <v>7</v>
      </c>
      <c r="D42">
        <f t="shared" si="0"/>
        <v>23.397800710095023</v>
      </c>
      <c r="E42">
        <f t="shared" si="1"/>
        <v>30</v>
      </c>
      <c r="F42">
        <f t="shared" si="2"/>
        <v>30</v>
      </c>
    </row>
    <row r="43" spans="3:6" x14ac:dyDescent="0.25">
      <c r="C43">
        <v>8</v>
      </c>
      <c r="D43">
        <f t="shared" si="0"/>
        <v>19.15080865713567</v>
      </c>
      <c r="E43">
        <f t="shared" si="1"/>
        <v>20</v>
      </c>
      <c r="F43">
        <f t="shared" si="2"/>
        <v>20</v>
      </c>
    </row>
    <row r="44" spans="3:6" x14ac:dyDescent="0.25">
      <c r="C44">
        <v>9</v>
      </c>
      <c r="D44">
        <f t="shared" si="0"/>
        <v>16.049382716049379</v>
      </c>
      <c r="E44">
        <f t="shared" si="1"/>
        <v>20</v>
      </c>
      <c r="F44">
        <f t="shared" si="2"/>
        <v>20</v>
      </c>
    </row>
    <row r="45" spans="3:6" x14ac:dyDescent="0.25">
      <c r="C45">
        <v>10</v>
      </c>
      <c r="D45">
        <f t="shared" si="0"/>
        <v>13.703203194062972</v>
      </c>
      <c r="E45">
        <f t="shared" si="1"/>
        <v>20</v>
      </c>
      <c r="F45">
        <f t="shared" si="2"/>
        <v>20</v>
      </c>
    </row>
    <row r="46" spans="3:6" x14ac:dyDescent="0.25">
      <c r="C46">
        <v>11</v>
      </c>
      <c r="D46">
        <f t="shared" si="0"/>
        <v>11.877719634881593</v>
      </c>
      <c r="E46">
        <f t="shared" si="1"/>
        <v>20</v>
      </c>
      <c r="F46">
        <f t="shared" si="2"/>
        <v>20</v>
      </c>
    </row>
    <row r="47" spans="3:6" x14ac:dyDescent="0.25">
      <c r="C47">
        <v>12</v>
      </c>
      <c r="D47">
        <f t="shared" si="0"/>
        <v>10.424379860368239</v>
      </c>
      <c r="E47">
        <f t="shared" si="1"/>
        <v>20</v>
      </c>
      <c r="F47">
        <f t="shared" si="2"/>
        <v>20</v>
      </c>
    </row>
    <row r="48" spans="3:6" x14ac:dyDescent="0.25">
      <c r="C48">
        <v>13</v>
      </c>
      <c r="D48">
        <f t="shared" si="0"/>
        <v>9.245003270420483</v>
      </c>
      <c r="E48">
        <f t="shared" si="1"/>
        <v>10</v>
      </c>
      <c r="F48">
        <f t="shared" si="2"/>
        <v>10</v>
      </c>
    </row>
    <row r="49" spans="2:6" x14ac:dyDescent="0.25">
      <c r="C49">
        <v>14</v>
      </c>
      <c r="D49">
        <f t="shared" si="0"/>
        <v>8.2723717734798061</v>
      </c>
      <c r="E49">
        <f t="shared" si="1"/>
        <v>10</v>
      </c>
      <c r="F49">
        <f t="shared" si="2"/>
        <v>10</v>
      </c>
    </row>
    <row r="50" spans="2:6" x14ac:dyDescent="0.25">
      <c r="C50">
        <v>15</v>
      </c>
      <c r="D50">
        <f t="shared" si="0"/>
        <v>7.4590790371402118</v>
      </c>
      <c r="E50">
        <f t="shared" si="1"/>
        <v>10</v>
      </c>
      <c r="F50">
        <f t="shared" si="2"/>
        <v>10</v>
      </c>
    </row>
    <row r="51" spans="2:6" x14ac:dyDescent="0.25">
      <c r="D51">
        <f>SUM(D36:D50)</f>
        <v>911.92436735938463</v>
      </c>
      <c r="E51">
        <f>SUM(E36:E50)</f>
        <v>980</v>
      </c>
      <c r="F51">
        <f>SUM(F36:F50)</f>
        <v>1000</v>
      </c>
    </row>
    <row r="54" spans="2:6" x14ac:dyDescent="0.25">
      <c r="B54" t="s">
        <v>2</v>
      </c>
    </row>
    <row r="55" spans="2:6" x14ac:dyDescent="0.25">
      <c r="B55" t="s">
        <v>0</v>
      </c>
    </row>
    <row r="56" spans="2:6" x14ac:dyDescent="0.25">
      <c r="B56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2021-03-18T14:42:48Z</dcterms:modified>
</cp:coreProperties>
</file>